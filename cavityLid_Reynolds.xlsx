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w_1" sheetId="1" state="visible" r:id="rId3"/>
    <sheet name="kew_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<sst xmlns="http://schemas.openxmlformats.org/spreadsheetml/2006/main" count="20" uniqueCount="15">
  <si>
    <t xml:space="preserve">nu</t>
  </si>
  <si>
    <t xml:space="preserve">Re</t>
  </si>
  <si>
    <t xml:space="preserve">u*L/nu</t>
  </si>
  <si>
    <t xml:space="preserve">L</t>
  </si>
  <si>
    <t xml:space="preserve">k</t>
  </si>
  <si>
    <t xml:space="preserve">(3/2)*((u*TI)^2)</t>
  </si>
  <si>
    <t xml:space="preserve">TI</t>
  </si>
  <si>
    <t xml:space="preserve">epsilon</t>
  </si>
  <si>
    <t xml:space="preserve">(0.09^0.75)*(k^1.5)/(0.07*L)</t>
  </si>
  <si>
    <t xml:space="preserve">omega</t>
  </si>
  <si>
    <t xml:space="preserve">epsilon/k</t>
  </si>
  <si>
    <t xml:space="preserve">u</t>
  </si>
  <si>
    <t xml:space="preserve">nu (m^2/s)</t>
  </si>
  <si>
    <t xml:space="preserve">L (m)</t>
  </si>
  <si>
    <t xml:space="preserve">u (m/s)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</si>
</sst>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61"/>
    <col collapsed="false" customWidth="true" hidden="false" outlineLevel="0" max="4" min="4" style="1" width="21.77"/>
    <col collapsed="false" customWidth="true" hidden="false" outlineLevel="0" max="5" min="5" style="1" width="23.96"/>
  </cols>
  <sheetData>
    <row r="1" customFormat="false" ht="12.8" hidden="false" customHeight="false" outlineLevel="0" collapsed="false">
      <c r="A1" s="1" t="s">
        <v>0</v>
      </c>
      <c r="B1" s="2" t="n">
        <v>1.5E-005</v>
      </c>
      <c r="D1" s="1" t="s">
        <v>1</v>
      </c>
      <c r="E1" s="1" t="s">
        <v>2</v>
      </c>
    </row>
    <row r="2" customFormat="false" ht="12.8" hidden="false" customHeight="false" outlineLevel="0" collapsed="false">
      <c r="A2" s="1" t="s">
        <v>3</v>
      </c>
      <c r="B2" s="1" t="n">
        <v>0.1</v>
      </c>
      <c r="D2" s="1" t="s">
        <v>4</v>
      </c>
      <c r="E2" s="1" t="s">
        <v>5</v>
      </c>
    </row>
    <row r="3" customFormat="false" ht="12.8" hidden="false" customHeight="false" outlineLevel="0" collapsed="false">
      <c r="A3" s="1" t="s">
        <v>6</v>
      </c>
      <c r="B3" s="1" t="n">
        <v>0.05</v>
      </c>
      <c r="D3" s="1" t="s">
        <v>7</v>
      </c>
      <c r="E3" s="1" t="s">
        <v>8</v>
      </c>
    </row>
    <row r="4" customFormat="false" ht="12.8" hidden="false" customHeight="false" outlineLevel="0" collapsed="false">
      <c r="D4" s="1" t="s">
        <v>9</v>
      </c>
      <c r="E4" s="1" t="s">
        <v>10</v>
      </c>
    </row>
    <row r="6" customFormat="false" ht="12.8" hidden="false" customHeight="false" outlineLevel="0" collapsed="false">
      <c r="A6" s="1" t="s">
        <v>11</v>
      </c>
      <c r="B6" s="1" t="s">
        <v>1</v>
      </c>
      <c r="C6" s="1" t="s">
        <v>4</v>
      </c>
      <c r="D6" s="1" t="s">
        <v>7</v>
      </c>
      <c r="E6" s="1" t="s">
        <v>9</v>
      </c>
    </row>
    <row r="7" customFormat="false" ht="12.8" hidden="false" customHeight="false" outlineLevel="0" collapsed="false">
      <c r="A7" s="1" t="n">
        <v>0.00015</v>
      </c>
      <c r="B7" s="1" t="n">
        <f aca="false">A7*$B$2/$B$1</f>
        <v>1</v>
      </c>
      <c r="C7" s="1" t="n">
        <f aca="false">(3/2)*((A7*$B$3)^2)</f>
        <v>8.4375E-011</v>
      </c>
      <c r="D7" s="1" t="n">
        <f aca="false">(0.09^0.75)*(C7^1.5)/(0.07*$B$2)</f>
        <v>1.81930084330061E-014</v>
      </c>
      <c r="E7" s="1" t="n">
        <f aca="false">D7/C7</f>
        <v>0.00021562084068748</v>
      </c>
    </row>
    <row r="8" customFormat="false" ht="12.8" hidden="false" customHeight="false" outlineLevel="0" collapsed="false">
      <c r="A8" s="1" t="n">
        <v>0.3</v>
      </c>
      <c r="B8" s="1" t="n">
        <f aca="false">A8*$B$2/$B$1</f>
        <v>2000</v>
      </c>
      <c r="C8" s="1" t="n">
        <f aca="false">(3/2)*((A8*$B$3)^2)</f>
        <v>0.0003375</v>
      </c>
      <c r="D8" s="1" t="n">
        <f aca="false">(0.09^0.75)*(C8^1.5)/(0.07*$B$2)</f>
        <v>0.000145544067464049</v>
      </c>
      <c r="E8" s="1" t="n">
        <f aca="false">D8/C8</f>
        <v>0.43124168137496</v>
      </c>
    </row>
    <row r="9" customFormat="false" ht="12.8" hidden="false" customHeight="false" outlineLevel="0" collapsed="false">
      <c r="A9" s="1" t="n">
        <v>0.6</v>
      </c>
      <c r="B9" s="1" t="n">
        <f aca="false">A9*$B$2/$B$1</f>
        <v>4000</v>
      </c>
      <c r="C9" s="1" t="n">
        <f aca="false">(3/2)*((A9*$B$3)^2)</f>
        <v>0.00135</v>
      </c>
      <c r="D9" s="1" t="n">
        <f aca="false">(0.09^0.75)*(C9^1.5)/(0.07*$B$2)</f>
        <v>0.00116435253971239</v>
      </c>
      <c r="E9" s="1" t="n">
        <f aca="false">D9/C9</f>
        <v>0.862483362749919</v>
      </c>
    </row>
    <row r="10" customFormat="false" ht="12.8" hidden="false" customHeight="false" outlineLevel="0" collapsed="false">
      <c r="A10" s="1" t="n">
        <v>0.9</v>
      </c>
      <c r="B10" s="1" t="n">
        <f aca="false">A10*$B$2/$B$1</f>
        <v>6000</v>
      </c>
      <c r="C10" s="1" t="n">
        <f aca="false">(3/2)*((A10*$B$3)^2)</f>
        <v>0.0030375</v>
      </c>
      <c r="D10" s="1" t="n">
        <f aca="false">(0.09^0.75)*(C10^1.5)/(0.07*$B$2)</f>
        <v>0.00392968982152932</v>
      </c>
      <c r="E10" s="1" t="n">
        <f aca="false">D10/C10</f>
        <v>1.29372504412488</v>
      </c>
    </row>
    <row r="11" customFormat="false" ht="12.8" hidden="false" customHeight="false" outlineLevel="0" collapsed="false">
      <c r="A11" s="1" t="n">
        <v>1.2</v>
      </c>
      <c r="B11" s="1" t="n">
        <f aca="false">A11*$B$2/$B$1</f>
        <v>8000</v>
      </c>
      <c r="C11" s="1" t="n">
        <f aca="false">(3/2)*((A11*$B$3)^2)</f>
        <v>0.0054</v>
      </c>
      <c r="D11" s="1" t="n">
        <f aca="false">(0.09^0.75)*(C11^1.5)/(0.07*$B$2)</f>
        <v>0.00931482031769913</v>
      </c>
      <c r="E11" s="1" t="n">
        <f aca="false">D11/C11</f>
        <v>1.72496672549984</v>
      </c>
    </row>
    <row r="12" customFormat="false" ht="12.8" hidden="false" customHeight="false" outlineLevel="0" collapsed="false">
      <c r="A12" s="1" t="n">
        <v>1.5</v>
      </c>
      <c r="B12" s="1" t="n">
        <f aca="false">A12*$B$2/$B$1</f>
        <v>10000</v>
      </c>
      <c r="C12" s="1" t="n">
        <f aca="false">(3/2)*((A12*$B$3)^2)</f>
        <v>0.0084375</v>
      </c>
      <c r="D12" s="1" t="n">
        <f aca="false">(0.09^0.75)*(C12^1.5)/(0.07*$B$2)</f>
        <v>0.0181930084330061</v>
      </c>
      <c r="E12" s="1" t="n">
        <f aca="false">D12/C12</f>
        <v>2.1562084068748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7.61"/>
    <col collapsed="false" customWidth="true" hidden="false" outlineLevel="0" max="4" min="4" style="1" width="21.77"/>
    <col collapsed="false" customWidth="true" hidden="false" outlineLevel="0" max="5" min="5" style="1" width="23.96"/>
  </cols>
  <sheetData>
    <row r="1" customFormat="false" ht="12.8" hidden="false" customHeight="false" outlineLevel="0" collapsed="false">
      <c r="A1" s="1" t="s">
        <v>12</v>
      </c>
      <c r="B1" s="2" t="n">
        <v>1E-005</v>
      </c>
    </row>
    <row r="2" customFormat="false" ht="12.8" hidden="false" customHeight="false" outlineLevel="0" collapsed="false">
      <c r="A2" s="1" t="s">
        <v>13</v>
      </c>
      <c r="B2" s="1" t="n">
        <v>0.1</v>
      </c>
    </row>
    <row r="3" customFormat="false" ht="12.8" hidden="false" customHeight="false" outlineLevel="0" collapsed="false">
      <c r="A3" s="1"/>
    </row>
    <row r="6" customFormat="false" ht="12.8" hidden="false" customHeight="false" outlineLevel="0" collapsed="false">
      <c r="A6" s="1" t="s">
        <v>14</v>
      </c>
      <c r="B6" s="1" t="s">
        <v>1</v>
      </c>
      <c r="C6" s="1"/>
    </row>
    <row r="7" customFormat="false" ht="12.8" hidden="false" customHeight="false" outlineLevel="0" collapsed="false">
      <c r="A7" s="1" t="n">
        <v>0.0001</v>
      </c>
      <c r="B7" s="1" t="n">
        <f aca="false">A7*$B$2/$B$1</f>
        <v>1</v>
      </c>
      <c r="C7" s="1"/>
    </row>
    <row r="8" customFormat="false" ht="12.8" hidden="false" customHeight="false" outlineLevel="0" collapsed="false">
      <c r="A8" s="1" t="n">
        <v>0.01</v>
      </c>
      <c r="B8" s="1" t="n">
        <f aca="false">A8*$B$2/$B$1</f>
        <v>100</v>
      </c>
      <c r="C8" s="1"/>
    </row>
    <row r="9" customFormat="false" ht="12.8" hidden="false" customHeight="false" outlineLevel="0" collapsed="false">
      <c r="A9" s="1" t="n">
        <v>0.02</v>
      </c>
      <c r="B9" s="1" t="n">
        <f aca="false">A9*$B$2/$B$1</f>
        <v>200</v>
      </c>
    </row>
    <row r="10" customFormat="false" ht="12.8" hidden="false" customHeight="false" outlineLevel="0" collapsed="false">
      <c r="A10" s="1" t="n">
        <v>0.03</v>
      </c>
      <c r="B10" s="1" t="n">
        <f aca="false">A10*$B$2/$B$1</f>
        <v>300</v>
      </c>
    </row>
    <row r="11" customFormat="false" ht="12.8" hidden="false" customHeight="false" outlineLevel="0" collapsed="false">
      <c r="A11" s="1" t="n">
        <v>0.04</v>
      </c>
      <c r="B11" s="1" t="n">
        <f aca="false">A11*$B$2/$B$1</f>
        <v>400</v>
      </c>
    </row>
    <row r="12" customFormat="false" ht="12.8" hidden="false" customHeight="false" outlineLevel="0" collapsed="false">
      <c r="A12" s="1" t="n">
        <v>0.05</v>
      </c>
      <c r="B12" s="1" t="n">
        <f aca="false">A12*$B$2/$B$1</f>
        <v>500</v>
      </c>
      <c r="C12" s="1"/>
    </row>
    <row r="13" customFormat="false" ht="12.8" hidden="false" customHeight="false" outlineLevel="0" collapsed="false">
      <c r="A13" s="1" t="n">
        <v>0.1</v>
      </c>
      <c r="B13" s="1" t="n">
        <f aca="false">A13*$B$2/$B$1</f>
        <v>1000</v>
      </c>
      <c r="C13" s="1"/>
    </row>
    <row r="14" customFormat="false" ht="12.8" hidden="false" customHeight="false" outlineLevel="0" collapsed="false">
      <c r="A14" s="1" t="n">
        <v>0.2</v>
      </c>
      <c r="B14" s="1" t="n">
        <f aca="false">A14*$B$2/$B$1</f>
        <v>2000</v>
      </c>
      <c r="C14" s="1"/>
    </row>
    <row r="15" customFormat="false" ht="12.8" hidden="false" customHeight="false" outlineLevel="0" collapsed="false">
      <c r="A15" s="1" t="n">
        <v>0.3</v>
      </c>
      <c r="B15" s="1" t="n">
        <f aca="false">A15*$B$2/$B$1</f>
        <v>3000</v>
      </c>
      <c r="C15" s="1"/>
    </row>
    <row r="16" customFormat="false" ht="12.8" hidden="false" customHeight="false" outlineLevel="0" collapsed="false">
      <c r="A16" s="1" t="n">
        <v>0.8</v>
      </c>
      <c r="B16" s="1" t="n">
        <f aca="false">A16*$B$2/$B$1</f>
        <v>8000</v>
      </c>
      <c r="C16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2024-09-29T14:29:57Z</dcterms:created>
  <dc:creator/>
  <dc:description/>
  <dc:language>en-US</dc:language>
  <cp:lastModifiedBy/>
  <dcterms:modified xsi:type="dcterms:W3CDTF">2024-09-30T14:27:16Z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